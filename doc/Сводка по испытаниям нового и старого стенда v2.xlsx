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75" windowWidth="21075" windowHeight="8265"/>
  </bookViews>
  <sheets>
    <sheet name="Лист1" sheetId="1" r:id="rId1"/>
    <sheet name="Лист2" sheetId="2" r:id="rId2"/>
    <sheet name="Лист3" sheetId="3" r:id="rId3"/>
  </sheets>
  <calcPr calcId="145621"/>
</workbook>
</file>

<file path=xl/calcChain.xml><?xml version="1.0" encoding="utf-8"?>
<calcChain xmlns="http://schemas.openxmlformats.org/spreadsheetml/2006/main">
  <c r="J22" i="1" l="1"/>
  <c r="I21" i="1"/>
  <c r="G21" i="1"/>
  <c r="K11" i="1"/>
  <c r="K14" i="1" l="1"/>
  <c r="F20" i="1" l="1"/>
  <c r="F19" i="1"/>
  <c r="F18" i="1"/>
  <c r="F17" i="1"/>
  <c r="H23" i="1" l="1"/>
  <c r="J23" i="1" s="1"/>
  <c r="G23" i="1"/>
  <c r="I23" i="1" s="1"/>
  <c r="H21" i="1"/>
  <c r="J21" i="1" s="1"/>
  <c r="H22" i="1"/>
  <c r="G22" i="1"/>
  <c r="I22" i="1" s="1"/>
  <c r="H24" i="1"/>
  <c r="J24" i="1" s="1"/>
  <c r="G24" i="1"/>
  <c r="I24" i="1" s="1"/>
  <c r="I11" i="1" l="1"/>
  <c r="F8" i="1"/>
  <c r="H12" i="1" s="1"/>
  <c r="F10" i="1"/>
  <c r="J14" i="1" s="1"/>
  <c r="F9" i="1"/>
  <c r="G13" i="1" s="1"/>
  <c r="K13" i="1" s="1"/>
  <c r="F7" i="1"/>
  <c r="H11" i="1" s="1"/>
  <c r="G12" i="1" l="1"/>
  <c r="K12" i="1" s="1"/>
  <c r="H14" i="1"/>
  <c r="I12" i="1"/>
  <c r="G14" i="1"/>
  <c r="H13" i="1"/>
  <c r="I14" i="1"/>
  <c r="I13" i="1"/>
  <c r="J11" i="1"/>
  <c r="G11" i="1"/>
  <c r="J13" i="1"/>
  <c r="J12" i="1"/>
</calcChain>
</file>

<file path=xl/sharedStrings.xml><?xml version="1.0" encoding="utf-8"?>
<sst xmlns="http://schemas.openxmlformats.org/spreadsheetml/2006/main" count="31" uniqueCount="22">
  <si>
    <t>Старый стенд</t>
  </si>
  <si>
    <t>Новый стенд</t>
  </si>
  <si>
    <t>183.00.00 Э6</t>
  </si>
  <si>
    <t>Скорость м/с</t>
  </si>
  <si>
    <t>отбой</t>
  </si>
  <si>
    <t>сжатие</t>
  </si>
  <si>
    <t>Без учета Fв</t>
  </si>
  <si>
    <t>С учетом Fв</t>
  </si>
  <si>
    <t>Статическая Fв-9,5</t>
  </si>
  <si>
    <t>Статическая Fв-0</t>
  </si>
  <si>
    <t>Динамическая Fв-9,5</t>
  </si>
  <si>
    <t>Динамическая Fв-0</t>
  </si>
  <si>
    <t>T-1,5 кгс; Fв-9,5 кгс</t>
  </si>
  <si>
    <t>Разница со старым стендом с учетом Fв</t>
  </si>
  <si>
    <t>425.00.00</t>
  </si>
  <si>
    <t>T-3 кгс; Fв-19 кгс</t>
  </si>
  <si>
    <t>В %</t>
  </si>
  <si>
    <t>Исп. №1</t>
  </si>
  <si>
    <t>(Исп. №2) Статическая Fв-9,5</t>
  </si>
  <si>
    <t>(Исп. №1) Статическая Fв-9,5</t>
  </si>
  <si>
    <t>В % (Статическая Fв-9,5)</t>
  </si>
  <si>
    <t>Исп. №2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</si>
</sst>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4" x14ac:knownFonts="1"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rgb="FF00B050"/>
      <name val="Calibri"/>
      <family val="2"/>
      <charset val="204"/>
      <scheme val="minor"/>
    </font>
    <font>
      <sz val="14"/>
      <color rgb="FFFF0000"/>
      <name val="Calibri"/>
      <family val="2"/>
      <charset val="204"/>
      <scheme val="minor"/>
    </font>
    <font>
      <i/>
      <sz val="14"/>
      <color rgb="FF00B050"/>
      <name val="Calibri"/>
      <family val="2"/>
      <charset val="204"/>
      <scheme val="minor"/>
    </font>
    <font>
      <i/>
      <sz val="14"/>
      <color rgb="FFFF0000"/>
      <name val="Calibri"/>
      <family val="2"/>
      <charset val="204"/>
      <scheme val="minor"/>
    </font>
    <font>
      <b/>
      <sz val="14"/>
      <color rgb="FF00B050"/>
      <name val="Calibri"/>
      <family val="2"/>
      <charset val="204"/>
      <scheme val="minor"/>
    </font>
    <font>
      <b/>
      <sz val="14"/>
      <color rgb="FFFF0000"/>
      <name val="Calibri"/>
      <family val="2"/>
      <charset val="204"/>
      <scheme val="minor"/>
    </font>
    <font>
      <sz val="14"/>
      <color rgb="FF0070C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00B050"/>
      <name val="Calibri"/>
      <family val="2"/>
      <charset val="204"/>
      <scheme val="minor"/>
    </font>
    <font>
      <b/>
      <sz val="11"/>
      <color rgb="FF00B05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0" xfId="0" applyFont="1" applyBorder="1"/>
    <xf numFmtId="0" fontId="3" fillId="0" borderId="18" xfId="0" applyFont="1" applyBorder="1"/>
    <xf numFmtId="0" fontId="4" fillId="0" borderId="12" xfId="0" applyFont="1" applyBorder="1"/>
    <xf numFmtId="0" fontId="3" fillId="0" borderId="17" xfId="0" applyFont="1" applyBorder="1"/>
    <xf numFmtId="0" fontId="3" fillId="0" borderId="24" xfId="0" applyFont="1" applyBorder="1"/>
    <xf numFmtId="0" fontId="3" fillId="0" borderId="20" xfId="0" applyFont="1" applyBorder="1"/>
    <xf numFmtId="0" fontId="3" fillId="0" borderId="25" xfId="0" applyFont="1" applyBorder="1"/>
    <xf numFmtId="0" fontId="3" fillId="0" borderId="13" xfId="0" applyFont="1" applyBorder="1"/>
    <xf numFmtId="0" fontId="3" fillId="0" borderId="6" xfId="0" applyFont="1" applyBorder="1"/>
    <xf numFmtId="0" fontId="3" fillId="0" borderId="9" xfId="0" applyFont="1" applyBorder="1"/>
    <xf numFmtId="0" fontId="5" fillId="0" borderId="16" xfId="0" applyFont="1" applyBorder="1"/>
    <xf numFmtId="0" fontId="5" fillId="0" borderId="17" xfId="0" applyFont="1" applyBorder="1"/>
    <xf numFmtId="0" fontId="5" fillId="0" borderId="18" xfId="0" applyFont="1" applyBorder="1"/>
    <xf numFmtId="0" fontId="5" fillId="0" borderId="8" xfId="0" applyFont="1" applyBorder="1"/>
    <xf numFmtId="0" fontId="5" fillId="0" borderId="6" xfId="0" applyFont="1" applyBorder="1"/>
    <xf numFmtId="0" fontId="5" fillId="0" borderId="9" xfId="0" applyFont="1" applyBorder="1"/>
    <xf numFmtId="0" fontId="6" fillId="0" borderId="8" xfId="0" applyFont="1" applyBorder="1"/>
    <xf numFmtId="0" fontId="6" fillId="0" borderId="6" xfId="0" applyFont="1" applyBorder="1"/>
    <xf numFmtId="0" fontId="6" fillId="0" borderId="9" xfId="0" applyFont="1" applyBorder="1"/>
    <xf numFmtId="0" fontId="6" fillId="0" borderId="10" xfId="0" applyFont="1" applyBorder="1"/>
    <xf numFmtId="0" fontId="6" fillId="0" borderId="11" xfId="0" applyFont="1" applyBorder="1"/>
    <xf numFmtId="0" fontId="6" fillId="0" borderId="12" xfId="0" applyFont="1" applyBorder="1"/>
    <xf numFmtId="0" fontId="4" fillId="0" borderId="11" xfId="0" applyFont="1" applyBorder="1"/>
    <xf numFmtId="0" fontId="4" fillId="0" borderId="21" xfId="0" applyFont="1" applyBorder="1"/>
    <xf numFmtId="0" fontId="4" fillId="0" borderId="19" xfId="0" applyFont="1" applyBorder="1"/>
    <xf numFmtId="0" fontId="4" fillId="0" borderId="26" xfId="0" applyFont="1" applyBorder="1"/>
    <xf numFmtId="0" fontId="4" fillId="0" borderId="13" xfId="0" applyFont="1" applyBorder="1"/>
    <xf numFmtId="0" fontId="4" fillId="0" borderId="6" xfId="0" applyFont="1" applyBorder="1"/>
    <xf numFmtId="0" fontId="4" fillId="0" borderId="9" xfId="0" applyFont="1" applyBorder="1"/>
    <xf numFmtId="0" fontId="7" fillId="0" borderId="18" xfId="0" applyFont="1" applyBorder="1"/>
    <xf numFmtId="0" fontId="8" fillId="0" borderId="12" xfId="0" applyFont="1" applyBorder="1"/>
    <xf numFmtId="0" fontId="1" fillId="0" borderId="14" xfId="0" applyFont="1" applyBorder="1"/>
    <xf numFmtId="0" fontId="1" fillId="0" borderId="27" xfId="0" applyFont="1" applyBorder="1"/>
    <xf numFmtId="0" fontId="1" fillId="0" borderId="30" xfId="0" applyFont="1" applyBorder="1"/>
    <xf numFmtId="0" fontId="2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8" xfId="0" applyFont="1" applyBorder="1"/>
    <xf numFmtId="0" fontId="1" fillId="0" borderId="34" xfId="0" applyFont="1" applyBorder="1"/>
    <xf numFmtId="0" fontId="3" fillId="0" borderId="15" xfId="0" applyFont="1" applyBorder="1"/>
    <xf numFmtId="0" fontId="4" fillId="0" borderId="8" xfId="0" applyFont="1" applyBorder="1"/>
    <xf numFmtId="0" fontId="3" fillId="0" borderId="8" xfId="0" applyFont="1" applyBorder="1"/>
    <xf numFmtId="0" fontId="4" fillId="0" borderId="10" xfId="0" applyFont="1" applyBorder="1"/>
    <xf numFmtId="0" fontId="3" fillId="0" borderId="35" xfId="0" applyFont="1" applyBorder="1"/>
    <xf numFmtId="0" fontId="4" fillId="0" borderId="36" xfId="0" applyFont="1" applyBorder="1"/>
    <xf numFmtId="0" fontId="5" fillId="0" borderId="37" xfId="0" applyFont="1" applyBorder="1"/>
    <xf numFmtId="0" fontId="6" fillId="0" borderId="35" xfId="0" applyFont="1" applyBorder="1"/>
    <xf numFmtId="0" fontId="5" fillId="0" borderId="35" xfId="0" applyFont="1" applyBorder="1"/>
    <xf numFmtId="0" fontId="6" fillId="0" borderId="36" xfId="0" applyFont="1" applyBorder="1"/>
    <xf numFmtId="0" fontId="10" fillId="0" borderId="10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1" fillId="0" borderId="0" xfId="0" applyFont="1"/>
    <xf numFmtId="164" fontId="12" fillId="0" borderId="15" xfId="0" applyNumberFormat="1" applyFont="1" applyBorder="1"/>
    <xf numFmtId="164" fontId="12" fillId="0" borderId="25" xfId="0" applyNumberFormat="1" applyFont="1" applyBorder="1"/>
    <xf numFmtId="164" fontId="13" fillId="0" borderId="8" xfId="0" applyNumberFormat="1" applyFont="1" applyBorder="1"/>
    <xf numFmtId="164" fontId="13" fillId="0" borderId="9" xfId="0" applyNumberFormat="1" applyFont="1" applyBorder="1"/>
    <xf numFmtId="164" fontId="12" fillId="0" borderId="8" xfId="0" applyNumberFormat="1" applyFont="1" applyBorder="1"/>
    <xf numFmtId="164" fontId="12" fillId="0" borderId="9" xfId="0" applyNumberFormat="1" applyFont="1" applyBorder="1"/>
    <xf numFmtId="164" fontId="13" fillId="0" borderId="10" xfId="0" applyNumberFormat="1" applyFont="1" applyBorder="1"/>
    <xf numFmtId="164" fontId="13" fillId="0" borderId="12" xfId="0" applyNumberFormat="1" applyFont="1" applyBorder="1"/>
    <xf numFmtId="0" fontId="9" fillId="0" borderId="39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45" xfId="0" applyFont="1" applyBorder="1" applyAlignment="1">
      <alignment horizontal="center"/>
    </xf>
    <xf numFmtId="0" fontId="10" fillId="0" borderId="38" xfId="0" applyFont="1" applyBorder="1" applyAlignment="1">
      <alignment horizontal="center"/>
    </xf>
    <xf numFmtId="164" fontId="12" fillId="0" borderId="43" xfId="0" applyNumberFormat="1" applyFont="1" applyBorder="1" applyAlignment="1">
      <alignment horizontal="center"/>
    </xf>
    <xf numFmtId="164" fontId="12" fillId="0" borderId="44" xfId="0" applyNumberFormat="1" applyFont="1" applyBorder="1" applyAlignment="1">
      <alignment horizontal="center"/>
    </xf>
    <xf numFmtId="164" fontId="13" fillId="0" borderId="46" xfId="0" applyNumberFormat="1" applyFont="1" applyBorder="1" applyAlignment="1">
      <alignment horizontal="center"/>
    </xf>
    <xf numFmtId="164" fontId="13" fillId="0" borderId="47" xfId="0" applyNumberFormat="1" applyFont="1" applyBorder="1" applyAlignment="1">
      <alignment horizontal="center"/>
    </xf>
    <xf numFmtId="164" fontId="12" fillId="0" borderId="46" xfId="0" applyNumberFormat="1" applyFont="1" applyBorder="1" applyAlignment="1">
      <alignment horizontal="center"/>
    </xf>
    <xf numFmtId="164" fontId="12" fillId="0" borderId="47" xfId="0" applyNumberFormat="1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10" fillId="0" borderId="43" xfId="0" applyFont="1" applyBorder="1" applyAlignment="1">
      <alignment horizontal="center"/>
    </xf>
    <xf numFmtId="0" fontId="10" fillId="0" borderId="44" xfId="0" applyFont="1" applyBorder="1" applyAlignment="1">
      <alignment horizontal="center"/>
    </xf>
    <xf numFmtId="164" fontId="13" fillId="0" borderId="45" xfId="0" applyNumberFormat="1" applyFont="1" applyBorder="1" applyAlignment="1">
      <alignment horizontal="center"/>
    </xf>
    <xf numFmtId="164" fontId="13" fillId="0" borderId="38" xfId="0" applyNumberFormat="1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9" fillId="0" borderId="16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L26"/>
  <sheetViews>
    <sheetView tabSelected="1" topLeftCell="B1" workbookViewId="0">
      <selection activeCell="E31" sqref="E31"/>
    </sheetView>
  </sheetViews>
  <sheetFormatPr defaultRowHeight="15" x14ac:dyDescent="0.25"/>
  <cols>
    <col min="1" max="2" width="16.42578125" bestFit="1" customWidth="1"/>
    <col min="3" max="3" width="9.28515625" bestFit="1" customWidth="1"/>
    <col min="4" max="4" width="49.28515625" bestFit="1" customWidth="1"/>
    <col min="5" max="5" width="15.140625" bestFit="1" customWidth="1"/>
    <col min="6" max="6" width="14.7109375" bestFit="1" customWidth="1"/>
    <col min="7" max="8" width="36.7109375" bestFit="1" customWidth="1"/>
    <col min="9" max="9" width="26.140625" bestFit="1" customWidth="1"/>
    <col min="10" max="10" width="23.85546875" bestFit="1" customWidth="1"/>
    <col min="11" max="11" width="13.140625" customWidth="1"/>
    <col min="12" max="12" width="12.5703125" customWidth="1"/>
  </cols>
  <sheetData>
    <row r="4" spans="2:12" ht="15.75" thickBot="1" x14ac:dyDescent="0.3"/>
    <row r="5" spans="2:12" ht="19.5" thickBot="1" x14ac:dyDescent="0.35">
      <c r="B5" s="1"/>
      <c r="C5" s="1"/>
      <c r="D5" s="35" t="s">
        <v>2</v>
      </c>
      <c r="E5" s="85" t="s">
        <v>0</v>
      </c>
      <c r="F5" s="87"/>
      <c r="G5" s="85" t="s">
        <v>1</v>
      </c>
      <c r="H5" s="86"/>
      <c r="I5" s="86"/>
      <c r="J5" s="87"/>
    </row>
    <row r="6" spans="2:12" ht="19.5" thickBot="1" x14ac:dyDescent="0.35">
      <c r="B6" s="1"/>
      <c r="C6" s="1"/>
      <c r="D6" s="36" t="s">
        <v>12</v>
      </c>
      <c r="E6" s="32" t="s">
        <v>6</v>
      </c>
      <c r="F6" s="33" t="s">
        <v>7</v>
      </c>
      <c r="G6" s="32" t="s">
        <v>8</v>
      </c>
      <c r="H6" s="34" t="s">
        <v>9</v>
      </c>
      <c r="I6" s="34" t="s">
        <v>10</v>
      </c>
      <c r="J6" s="33" t="s">
        <v>11</v>
      </c>
    </row>
    <row r="7" spans="2:12" ht="18.75" x14ac:dyDescent="0.3">
      <c r="B7" s="88" t="s">
        <v>3</v>
      </c>
      <c r="C7" s="2" t="s">
        <v>4</v>
      </c>
      <c r="D7" s="88">
        <v>0.105</v>
      </c>
      <c r="E7" s="4">
        <v>78.900000000000006</v>
      </c>
      <c r="F7" s="30">
        <f>E7+9.5</f>
        <v>88.4</v>
      </c>
      <c r="G7" s="5">
        <v>92.3</v>
      </c>
      <c r="H7" s="6">
        <v>82.6</v>
      </c>
      <c r="I7" s="6">
        <v>100.3</v>
      </c>
      <c r="J7" s="7">
        <v>95.4</v>
      </c>
    </row>
    <row r="8" spans="2:12" ht="19.5" thickBot="1" x14ac:dyDescent="0.35">
      <c r="B8" s="89"/>
      <c r="C8" s="3" t="s">
        <v>5</v>
      </c>
      <c r="D8" s="89"/>
      <c r="E8" s="23">
        <v>39.6</v>
      </c>
      <c r="F8" s="31">
        <f>E8-9.5</f>
        <v>30.1</v>
      </c>
      <c r="G8" s="27">
        <v>44.5</v>
      </c>
      <c r="H8" s="28">
        <v>50.4</v>
      </c>
      <c r="I8" s="28">
        <v>38.5</v>
      </c>
      <c r="J8" s="29">
        <v>40.6</v>
      </c>
    </row>
    <row r="9" spans="2:12" ht="18.75" x14ac:dyDescent="0.3">
      <c r="B9" s="1"/>
      <c r="C9" s="1"/>
      <c r="D9" s="88">
        <v>0.314</v>
      </c>
      <c r="E9" s="4">
        <v>151.19999999999999</v>
      </c>
      <c r="F9" s="30">
        <f>E9+9.5</f>
        <v>160.69999999999999</v>
      </c>
      <c r="G9" s="8">
        <v>168.7</v>
      </c>
      <c r="H9" s="9">
        <v>161.5</v>
      </c>
      <c r="I9" s="9">
        <v>180.8</v>
      </c>
      <c r="J9" s="10">
        <v>173.2</v>
      </c>
      <c r="K9" s="70" t="s">
        <v>20</v>
      </c>
      <c r="L9" s="71"/>
    </row>
    <row r="10" spans="2:12" ht="19.5" thickBot="1" x14ac:dyDescent="0.35">
      <c r="B10" s="1"/>
      <c r="C10" s="1"/>
      <c r="D10" s="89"/>
      <c r="E10" s="23">
        <v>56.2</v>
      </c>
      <c r="F10" s="31">
        <f>E10-9.5</f>
        <v>46.7</v>
      </c>
      <c r="G10" s="24">
        <v>58.4</v>
      </c>
      <c r="H10" s="25">
        <v>65.900000000000006</v>
      </c>
      <c r="I10" s="25">
        <v>50</v>
      </c>
      <c r="J10" s="26">
        <v>56</v>
      </c>
      <c r="K10" s="62" t="s">
        <v>17</v>
      </c>
      <c r="L10" s="63"/>
    </row>
    <row r="11" spans="2:12" ht="18.75" x14ac:dyDescent="0.3">
      <c r="B11" s="1"/>
      <c r="C11" s="1"/>
      <c r="D11" s="90" t="s">
        <v>13</v>
      </c>
      <c r="E11" s="72">
        <v>0.105</v>
      </c>
      <c r="F11" s="73"/>
      <c r="G11" s="11">
        <f>G7-F7</f>
        <v>3.8999999999999915</v>
      </c>
      <c r="H11" s="12">
        <f>H7-F7</f>
        <v>-5.8000000000000114</v>
      </c>
      <c r="I11" s="12">
        <f>I7-F7</f>
        <v>11.899999999999991</v>
      </c>
      <c r="J11" s="13">
        <f>J7-F7</f>
        <v>7</v>
      </c>
      <c r="K11" s="64">
        <f>(G11/F7)</f>
        <v>4.4117647058823428E-2</v>
      </c>
      <c r="L11" s="65"/>
    </row>
    <row r="12" spans="2:12" ht="19.5" thickBot="1" x14ac:dyDescent="0.35">
      <c r="B12" s="1"/>
      <c r="C12" s="1"/>
      <c r="D12" s="91"/>
      <c r="E12" s="74"/>
      <c r="F12" s="75"/>
      <c r="G12" s="17">
        <f t="shared" ref="G12:G13" si="0">G8-F8</f>
        <v>14.399999999999999</v>
      </c>
      <c r="H12" s="18">
        <f>H8-F8</f>
        <v>20.299999999999997</v>
      </c>
      <c r="I12" s="18">
        <f t="shared" ref="I12:I14" si="1">I8-F8</f>
        <v>8.3999999999999986</v>
      </c>
      <c r="J12" s="19">
        <f t="shared" ref="J12:J14" si="2">J8-F8</f>
        <v>10.5</v>
      </c>
      <c r="K12" s="66">
        <f>(G12/F8)</f>
        <v>0.47840531561461785</v>
      </c>
      <c r="L12" s="67"/>
    </row>
    <row r="13" spans="2:12" ht="18.75" x14ac:dyDescent="0.3">
      <c r="B13" s="1"/>
      <c r="C13" s="1"/>
      <c r="D13" s="91"/>
      <c r="E13" s="93">
        <v>0.314</v>
      </c>
      <c r="F13" s="94"/>
      <c r="G13" s="14">
        <f t="shared" si="0"/>
        <v>8</v>
      </c>
      <c r="H13" s="15">
        <f t="shared" ref="H13" si="3">H9-F9</f>
        <v>0.80000000000001137</v>
      </c>
      <c r="I13" s="15">
        <f>I9-F9</f>
        <v>20.100000000000023</v>
      </c>
      <c r="J13" s="16">
        <f t="shared" si="2"/>
        <v>12.5</v>
      </c>
      <c r="K13" s="68">
        <f t="shared" ref="K13" si="4">(G13/F9)</f>
        <v>4.9782202862476671E-2</v>
      </c>
      <c r="L13" s="69"/>
    </row>
    <row r="14" spans="2:12" ht="19.5" thickBot="1" x14ac:dyDescent="0.35">
      <c r="B14" s="1"/>
      <c r="C14" s="1"/>
      <c r="D14" s="92"/>
      <c r="E14" s="74"/>
      <c r="F14" s="75"/>
      <c r="G14" s="20">
        <f>G10-F10</f>
        <v>11.699999999999996</v>
      </c>
      <c r="H14" s="21">
        <f>H10-F10</f>
        <v>19.200000000000003</v>
      </c>
      <c r="I14" s="21">
        <f t="shared" si="1"/>
        <v>3.2999999999999972</v>
      </c>
      <c r="J14" s="22">
        <f t="shared" si="2"/>
        <v>9.2999999999999972</v>
      </c>
      <c r="K14" s="83">
        <f>(G14/F10)</f>
        <v>0.25053533190578148</v>
      </c>
      <c r="L14" s="84"/>
    </row>
    <row r="15" spans="2:12" ht="19.5" thickBot="1" x14ac:dyDescent="0.35">
      <c r="B15" s="1"/>
      <c r="C15" s="1"/>
      <c r="D15" s="35" t="s">
        <v>14</v>
      </c>
      <c r="E15" s="85" t="s">
        <v>0</v>
      </c>
      <c r="F15" s="87"/>
      <c r="G15" s="79" t="s">
        <v>1</v>
      </c>
      <c r="H15" s="80"/>
    </row>
    <row r="16" spans="2:12" ht="19.5" thickBot="1" x14ac:dyDescent="0.35">
      <c r="B16" s="1"/>
      <c r="C16" s="1"/>
      <c r="D16" s="36" t="s">
        <v>15</v>
      </c>
      <c r="E16" s="32" t="s">
        <v>6</v>
      </c>
      <c r="F16" s="33" t="s">
        <v>7</v>
      </c>
      <c r="G16" s="37" t="s">
        <v>19</v>
      </c>
      <c r="H16" s="38" t="s">
        <v>18</v>
      </c>
    </row>
    <row r="17" spans="2:10" ht="18.75" x14ac:dyDescent="0.3">
      <c r="B17" s="60" t="s">
        <v>3</v>
      </c>
      <c r="C17" s="2" t="s">
        <v>4</v>
      </c>
      <c r="D17" s="60">
        <v>0.105</v>
      </c>
      <c r="E17" s="4">
        <v>61.2</v>
      </c>
      <c r="F17" s="30">
        <f>E17+19</f>
        <v>80.2</v>
      </c>
      <c r="G17" s="39">
        <v>88.1</v>
      </c>
      <c r="H17" s="7">
        <v>82.5</v>
      </c>
    </row>
    <row r="18" spans="2:10" ht="19.5" thickBot="1" x14ac:dyDescent="0.35">
      <c r="B18" s="61"/>
      <c r="C18" s="3" t="s">
        <v>5</v>
      </c>
      <c r="D18" s="61"/>
      <c r="E18" s="23">
        <v>39.6</v>
      </c>
      <c r="F18" s="31">
        <f>E18-19</f>
        <v>20.6</v>
      </c>
      <c r="G18" s="40">
        <v>24.7</v>
      </c>
      <c r="H18" s="29">
        <v>27.1</v>
      </c>
    </row>
    <row r="19" spans="2:10" ht="18.75" x14ac:dyDescent="0.3">
      <c r="B19" s="1"/>
      <c r="C19" s="1"/>
      <c r="D19" s="60">
        <v>0.314</v>
      </c>
      <c r="E19" s="4">
        <v>158.69999999999999</v>
      </c>
      <c r="F19" s="30">
        <f>E19+19</f>
        <v>177.7</v>
      </c>
      <c r="G19" s="41">
        <v>196.9</v>
      </c>
      <c r="H19" s="43">
        <v>191.1</v>
      </c>
      <c r="I19" s="81" t="s">
        <v>16</v>
      </c>
      <c r="J19" s="82"/>
    </row>
    <row r="20" spans="2:10" ht="19.5" thickBot="1" x14ac:dyDescent="0.35">
      <c r="B20" s="1"/>
      <c r="C20" s="1"/>
      <c r="D20" s="61"/>
      <c r="E20" s="23">
        <v>55.1</v>
      </c>
      <c r="F20" s="31">
        <f>E20-19</f>
        <v>36.1</v>
      </c>
      <c r="G20" s="42">
        <v>42.5</v>
      </c>
      <c r="H20" s="44">
        <v>44.8</v>
      </c>
      <c r="I20" s="49" t="s">
        <v>17</v>
      </c>
      <c r="J20" s="50" t="s">
        <v>21</v>
      </c>
    </row>
    <row r="21" spans="2:10" ht="18.75" x14ac:dyDescent="0.3">
      <c r="B21" s="1"/>
      <c r="C21" s="1"/>
      <c r="D21" s="76" t="s">
        <v>13</v>
      </c>
      <c r="E21" s="72">
        <v>0.105</v>
      </c>
      <c r="F21" s="73"/>
      <c r="G21" s="11">
        <f>G17-F17</f>
        <v>7.8999999999999915</v>
      </c>
      <c r="H21" s="45">
        <f>H17-F17</f>
        <v>2.2999999999999972</v>
      </c>
      <c r="I21" s="52">
        <f>(G21/F17)</f>
        <v>9.850374064837894E-2</v>
      </c>
      <c r="J21" s="53">
        <f>H21/F17</f>
        <v>2.8678304239401459E-2</v>
      </c>
    </row>
    <row r="22" spans="2:10" ht="19.5" thickBot="1" x14ac:dyDescent="0.35">
      <c r="B22" s="1"/>
      <c r="C22" s="1"/>
      <c r="D22" s="77"/>
      <c r="E22" s="74"/>
      <c r="F22" s="75"/>
      <c r="G22" s="17">
        <f t="shared" ref="G22:G23" si="5">G18-F18</f>
        <v>4.0999999999999979</v>
      </c>
      <c r="H22" s="46">
        <f>H18-F18</f>
        <v>6.5</v>
      </c>
      <c r="I22" s="54">
        <f>(G22/F18)</f>
        <v>0.19902912621359212</v>
      </c>
      <c r="J22" s="55">
        <f>H22/F18</f>
        <v>0.31553398058252424</v>
      </c>
    </row>
    <row r="23" spans="2:10" ht="18.75" x14ac:dyDescent="0.3">
      <c r="B23" s="1"/>
      <c r="C23" s="1"/>
      <c r="D23" s="77"/>
      <c r="E23" s="72">
        <v>0.314</v>
      </c>
      <c r="F23" s="73"/>
      <c r="G23" s="14">
        <f t="shared" si="5"/>
        <v>19.200000000000017</v>
      </c>
      <c r="H23" s="47">
        <f t="shared" ref="H23" si="6">H19-F19</f>
        <v>13.400000000000006</v>
      </c>
      <c r="I23" s="56">
        <f>(G23/F19)</f>
        <v>0.10804727068092301</v>
      </c>
      <c r="J23" s="57">
        <f>H23/F19</f>
        <v>7.5407990996060811E-2</v>
      </c>
    </row>
    <row r="24" spans="2:10" ht="19.5" thickBot="1" x14ac:dyDescent="0.35">
      <c r="B24" s="1"/>
      <c r="C24" s="1"/>
      <c r="D24" s="78"/>
      <c r="E24" s="74"/>
      <c r="F24" s="75"/>
      <c r="G24" s="20">
        <f>G20-F20</f>
        <v>6.3999999999999986</v>
      </c>
      <c r="H24" s="48">
        <f>H20-F20</f>
        <v>8.6999999999999957</v>
      </c>
      <c r="I24" s="58">
        <f>(G24/F20)</f>
        <v>0.17728531855955673</v>
      </c>
      <c r="J24" s="59">
        <f>H24/F20</f>
        <v>0.24099722991689737</v>
      </c>
    </row>
    <row r="26" spans="2:10" x14ac:dyDescent="0.25">
      <c r="I26" s="51"/>
    </row>
  </sheetData>
  <mergeCells count="23">
    <mergeCell ref="G5:J5"/>
    <mergeCell ref="B7:B8"/>
    <mergeCell ref="D9:D10"/>
    <mergeCell ref="D7:D8"/>
    <mergeCell ref="D11:D14"/>
    <mergeCell ref="E11:F12"/>
    <mergeCell ref="E13:F14"/>
    <mergeCell ref="E5:F5"/>
    <mergeCell ref="K9:L9"/>
    <mergeCell ref="E23:F24"/>
    <mergeCell ref="E21:F22"/>
    <mergeCell ref="D21:D24"/>
    <mergeCell ref="D19:D20"/>
    <mergeCell ref="D17:D18"/>
    <mergeCell ref="G15:H15"/>
    <mergeCell ref="I19:J19"/>
    <mergeCell ref="K14:L14"/>
    <mergeCell ref="E15:F15"/>
    <mergeCell ref="B17:B18"/>
    <mergeCell ref="K10:L10"/>
    <mergeCell ref="K11:L11"/>
    <mergeCell ref="K12:L12"/>
    <mergeCell ref="K13:L13"/>
  </mergeCells>
  <pageMargins left="0.7" right="0.7" top="0.75" bottom="0.75" header="0.3" footer="0.3"/>
  <pageSetup paperSize="9" orientation="portrait" r:id="rId1"/>
  <ignoredErrors>
    <ignoredError sqref="F8:F9 F18:F19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User231115-2</dc:creator>
  <cp:lastModifiedBy>User161019</cp:lastModifiedBy>
  <dcterms:created xsi:type="dcterms:W3CDTF">2024-10-04T10:28:11Z</dcterms:created>
  <dcterms:modified xsi:type="dcterms:W3CDTF">2026-03-19T11:36:56Z</dcterms:modified>
</cp:coreProperties>
</file>